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1e1fb8e1166eb7c/6.Semester/Digitale Transformation/DigitaleTransformation_Protypen/"/>
    </mc:Choice>
  </mc:AlternateContent>
  <xr:revisionPtr revIDLastSave="0" documentId="11_D86A0D584E5277D3EC3A2BAE7A62A8E7B714F965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Übersicht" sheetId="1" r:id="rId1"/>
    <sheet name="Nachrichtenquellen" sheetId="2" r:id="rId2"/>
    <sheet name="Sentiment-Analyse" sheetId="3" r:id="rId3"/>
    <sheet name="Investment-Bewertung" sheetId="4" r:id="rId4"/>
    <sheet name="Vergleich Manuell vs. K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4" l="1"/>
  <c r="E12" i="3"/>
  <c r="C10" i="4"/>
  <c r="E8" i="4"/>
  <c r="E7" i="4"/>
  <c r="E6" i="4"/>
  <c r="E5" i="4"/>
  <c r="E4" i="4"/>
  <c r="E20" i="3"/>
  <c r="E19" i="3"/>
  <c r="E18" i="3"/>
  <c r="E17" i="3"/>
  <c r="E21" i="3" s="1"/>
  <c r="E16" i="3"/>
  <c r="E11" i="3"/>
  <c r="E10" i="3"/>
  <c r="E9" i="3"/>
  <c r="E8" i="3"/>
  <c r="E7" i="3"/>
  <c r="E6" i="3"/>
  <c r="E5" i="3"/>
  <c r="E23" i="3" l="1"/>
</calcChain>
</file>

<file path=xl/sharedStrings.xml><?xml version="1.0" encoding="utf-8"?>
<sst xmlns="http://schemas.openxmlformats.org/spreadsheetml/2006/main" count="227" uniqueCount="201">
  <si>
    <t>Manuelle Investment-Analyse – Ist-Zustand</t>
  </si>
  <si>
    <t>Digitale Transformation im Investmentbanking  ·  PoC-Begleitdokument</t>
  </si>
  <si>
    <t>Analyst</t>
  </si>
  <si>
    <t>Max Mustermann, Investment Research</t>
  </si>
  <si>
    <t>Datum</t>
  </si>
  <si>
    <t>09. Juni 2026</t>
  </si>
  <si>
    <t>Unternehmen</t>
  </si>
  <si>
    <t>SAP SE (NYSE: SAP)</t>
  </si>
  <si>
    <t>Analysezeitraum</t>
  </si>
  <si>
    <t>Q1 2026 (01.01.2026 – 31.03.2026)</t>
  </si>
  <si>
    <t>Werkzeug</t>
  </si>
  <si>
    <t>Microsoft Excel – vollständig manuell</t>
  </si>
  <si>
    <t>Manueller Analyseprozess – 5 Schritte</t>
  </si>
  <si>
    <t>1</t>
  </si>
  <si>
    <t>Quellen sammeln</t>
  </si>
  <si>
    <t>Handelsblatt, Reuters, Bloomberg, Seeking Alpha – manuell geöffnet und gesichtet</t>
  </si>
  <si>
    <t>2</t>
  </si>
  <si>
    <t>Artikel lesen &amp; notieren</t>
  </si>
  <si>
    <t>Relevante Informationen per Hand in diese Excel-Tabelle übertragen</t>
  </si>
  <si>
    <t>3</t>
  </si>
  <si>
    <t>Sentiment manuell bewerten</t>
  </si>
  <si>
    <t>Jeder Artikel wird subjektiv als Positiv / Neutral / Negativ eingestuft</t>
  </si>
  <si>
    <t>4</t>
  </si>
  <si>
    <t>Chancen &amp; Risiken notieren</t>
  </si>
  <si>
    <t>Erkenntnisse werden in ein separates Tabellenblatt übertragen</t>
  </si>
  <si>
    <t>5</t>
  </si>
  <si>
    <t>Empfehlung formulieren</t>
  </si>
  <si>
    <t>Analyst fasst alle Erkenntnisse zusammen und gibt Handlungsempfehlung</t>
  </si>
  <si>
    <t>⏱  Dieser Prozess dauerte ca. 4–6 Stunden pro Analyse.</t>
  </si>
  <si>
    <t>Manuelle Nachrichtenrecherche – SAP SE  ·  Q1 2026</t>
  </si>
  <si>
    <t>Nr.</t>
  </si>
  <si>
    <t>Quelle</t>
  </si>
  <si>
    <t>Artikeltitel</t>
  </si>
  <si>
    <t>Kernaussage</t>
  </si>
  <si>
    <t>Sentiment</t>
  </si>
  <si>
    <t>Relevanz
(1–5)</t>
  </si>
  <si>
    <t>Anmerkungen Analyst</t>
  </si>
  <si>
    <t>20.04.2026</t>
  </si>
  <si>
    <t>Barclays Research</t>
  </si>
  <si>
    <t>Barclays Overweight – Kursziel auf 256 USD gesenkt</t>
  </si>
  <si>
    <t>Positives Grundrating trotz Kurszielsenkung von 283 auf 256 USD. Vorsichtigere Erwartungen signalisiert.</t>
  </si>
  <si>
    <t>Neutral</t>
  </si>
  <si>
    <t>Kurszielkürzung beachten – gemischtes Signal</t>
  </si>
  <si>
    <t>23.04.2026</t>
  </si>
  <si>
    <t>Seeking Alpha</t>
  </si>
  <si>
    <t>SAP Q1 2026 Earnings Call Transcript</t>
  </si>
  <si>
    <t>Q1-Ergebniskonferenz. Operative Details noch nicht vollständig verfügbar.</t>
  </si>
  <si>
    <t>Transkript unvollständig – Nachfassen</t>
  </si>
  <si>
    <t>22.04.2026</t>
  </si>
  <si>
    <t>Reuters</t>
  </si>
  <si>
    <t>SAP Cloud-Umsatz übertrifft Erwartungen um 8 %</t>
  </si>
  <si>
    <t>Cloud-Segment wächst deutlich stärker als erwartet. KI-Integration treibt Nachfrage.</t>
  </si>
  <si>
    <t>Positiv</t>
  </si>
  <si>
    <t>Starkes Signal – besonders Cloud-Segment</t>
  </si>
  <si>
    <t>18.04.2026</t>
  </si>
  <si>
    <t>Handelsblatt</t>
  </si>
  <si>
    <t>SAP investiert 1,5 Mrd. EUR in KI-Infrastruktur</t>
  </si>
  <si>
    <t>Langfristig positiv, kurzfristig margendämpfend durch erhöhte CAPEX.</t>
  </si>
  <si>
    <t>Langfristig positiv, kurzfristig Margendruck</t>
  </si>
  <si>
    <t>15.04.2026</t>
  </si>
  <si>
    <t>Bloomberg</t>
  </si>
  <si>
    <t>Konkurrenz durch Salesforce und Oracle nimmt zu</t>
  </si>
  <si>
    <t>Marktanteilsrisiken im CRM-Segment durch aggressive Preissetzung der Wettbewerber.</t>
  </si>
  <si>
    <t>Negativ</t>
  </si>
  <si>
    <t>Wettbewerbsrisiko weiter verfolgen</t>
  </si>
  <si>
    <t>10.04.2026</t>
  </si>
  <si>
    <t>Insider Monkey</t>
  </si>
  <si>
    <t>SAP unter besten europäischen Aktien laut Analysten</t>
  </si>
  <si>
    <t>Mehrere Analysten stufen SAP als Top-Pick im europäischen Software-Bereich ein.</t>
  </si>
  <si>
    <t>Allgemeiner Meinungsartikel – begrenzte Tiefe</t>
  </si>
  <si>
    <t>08.04.2026</t>
  </si>
  <si>
    <t>Financial Times</t>
  </si>
  <si>
    <t>DORA-Konformität treibt SAP GRC-Nachfrage</t>
  </si>
  <si>
    <t>Regulatorische Anforderungen (DORA, NIS2) steigern Nachfrage nach SAP-Compliance-Lösungen.</t>
  </si>
  <si>
    <t>Regulatorischer Rückenwind – sehr relevant</t>
  </si>
  <si>
    <t>05.04.2026</t>
  </si>
  <si>
    <t>Manager Magazin</t>
  </si>
  <si>
    <t>SAP-CEO Klein bestätigt Profitabilitätsziele 2026</t>
  </si>
  <si>
    <t>Managementaussagen bekräftigen Margenziele trotz erhöhter Investitionsausgaben.</t>
  </si>
  <si>
    <t>Managementsignal glaubwürdig – positiv</t>
  </si>
  <si>
    <t>02.04.2026</t>
  </si>
  <si>
    <t>WirtschaftsWoche</t>
  </si>
  <si>
    <t>Makrorisiken: Zinsumfeld belastet Tech-Bewertungen</t>
  </si>
  <si>
    <t>Steigendes Zinsumfeld drückt KGV-Multiples. Branchenweites Thema.</t>
  </si>
  <si>
    <t>Makro-Risiko – nicht SAP-spezifisch</t>
  </si>
  <si>
    <t>28.03.2026</t>
  </si>
  <si>
    <t>Neue Zürcher Zeitung</t>
  </si>
  <si>
    <t>SAP–Microsoft Azure Partnerschaft ausgebaut</t>
  </si>
  <si>
    <t>Erweiterung der Cloud-Partnerschaft für KI-gestützte ERP-Lösungen angekündigt.</t>
  </si>
  <si>
    <t>Strategisch sehr bedeutsam</t>
  </si>
  <si>
    <t>Legende:</t>
  </si>
  <si>
    <t>Manuelle Sentiment-Analyse – SAP SE  ·  Q1 2026</t>
  </si>
  <si>
    <t>Positive Schlüsselbegriffe (manuell erfasst)</t>
  </si>
  <si>
    <t>Begriff</t>
  </si>
  <si>
    <t>Häufigkeit
(Artikel)</t>
  </si>
  <si>
    <t>Gewichtung</t>
  </si>
  <si>
    <t>Score
(1–5)</t>
  </si>
  <si>
    <t>Gewichteter
Score</t>
  </si>
  <si>
    <t>Fundstelle (Art.-Nr.)</t>
  </si>
  <si>
    <t>Cloud-Wachstum</t>
  </si>
  <si>
    <t>3, 4, 8, 10</t>
  </si>
  <si>
    <t>Overweight-Rating</t>
  </si>
  <si>
    <t>1, 6, 10</t>
  </si>
  <si>
    <t>KI-Integration</t>
  </si>
  <si>
    <t>4, 7, 10</t>
  </si>
  <si>
    <t>Microsoft-Partnerschaft</t>
  </si>
  <si>
    <t>10</t>
  </si>
  <si>
    <t>Profitabilitätsziele</t>
  </si>
  <si>
    <t>8</t>
  </si>
  <si>
    <t>Regulatorischer Rückenw.</t>
  </si>
  <si>
    <t>7</t>
  </si>
  <si>
    <t>Top-Pick Analysten</t>
  </si>
  <si>
    <t>6, 10</t>
  </si>
  <si>
    <t>Gesamt Positiv-Score</t>
  </si>
  <si>
    <t>Negative Schlüsselbegriffe (manuell erfasst)</t>
  </si>
  <si>
    <t>Kursziel gesenkt</t>
  </si>
  <si>
    <t>Wettbewerbsdruck</t>
  </si>
  <si>
    <t>Margendruck (CAPEX)</t>
  </si>
  <si>
    <t>Makro-Zinsrisiko</t>
  </si>
  <si>
    <t>9</t>
  </si>
  <si>
    <t>Unvollständige Guidance</t>
  </si>
  <si>
    <t>Gesamt Negativ-Score</t>
  </si>
  <si>
    <t>Netto-Sentiment-Score  (Positiv minus Negativ)</t>
  </si>
  <si>
    <t>⏱  Zeitaufwand für diese Sentiment-Auswertung: ca. 45 Minuten (manuell)</t>
  </si>
  <si>
    <t>Investment-Scorecard – SAP SE  ·  Manuelle Bewertung Q1 2026</t>
  </si>
  <si>
    <t>Kriterium</t>
  </si>
  <si>
    <t>Beschreibung</t>
  </si>
  <si>
    <t>Gewichtung
(%)</t>
  </si>
  <si>
    <t>Bewertung</t>
  </si>
  <si>
    <t>Quellen / Belege</t>
  </si>
  <si>
    <t>Marktsentiment</t>
  </si>
  <si>
    <t>Stimmung aus Presseartikeln und Analystenmeinungen</t>
  </si>
  <si>
    <t>Leicht positiv</t>
  </si>
  <si>
    <t>Sheets Nachrichtenquellen &amp; Sentiment-Analyse</t>
  </si>
  <si>
    <t>Analystenmeinungen</t>
  </si>
  <si>
    <t>Durchschnittl. Rating und Kurszielentwicklung</t>
  </si>
  <si>
    <t>Gemischt</t>
  </si>
  <si>
    <t>Barclays Overweight, Kursziel von 283 auf 256 USD</t>
  </si>
  <si>
    <t>Fundamentaldaten</t>
  </si>
  <si>
    <t>Qualitative Hinweise aus Earnings Calls und Berichten</t>
  </si>
  <si>
    <t>Cloud +8 %, CEO bestätigt Profitabilität</t>
  </si>
  <si>
    <t>Risikofaktoren</t>
  </si>
  <si>
    <t>Wettbewerb, Makroumfeld, regulatorische Unsicherheiten</t>
  </si>
  <si>
    <t>Moderat</t>
  </si>
  <si>
    <t>Wettbewerbsdruck Salesforce/Oracle, Makro-Zins</t>
  </si>
  <si>
    <t>Momentum / Katalysat.</t>
  </si>
  <si>
    <t>Erwartete Ereignisse und strategische Treiber</t>
  </si>
  <si>
    <t>DORA-Rückenwind, Microsoft Azure, KI-CAPEX</t>
  </si>
  <si>
    <t>Gesamtscore (gewichtet)</t>
  </si>
  <si>
    <t>Bewertungsskala:</t>
  </si>
  <si>
    <t>&lt; 2.0    VERKAUFEN  (ROT)</t>
  </si>
  <si>
    <t>2.0–3.4  HALTEN      (GELB)</t>
  </si>
  <si>
    <t>&gt;= 3.5   KAUFEN      (GRÜN)</t>
  </si>
  <si>
    <t>Empfehlung (Analyst):  Vorsichtig positiv – gestaffelt einsteigen. Score 3.60 liegt im GRÜN-Bereich; Evidenz jedoch begrenzt.</t>
  </si>
  <si>
    <t>⏱  Zeitaufwand für diese Scorecard: ca. 1,5 Stunden je Unternehmen (manuell)</t>
  </si>
  <si>
    <t>Vergleich: Manueller Prozess vs. KI-gestützter PoC</t>
  </si>
  <si>
    <t>Digitale Transformation  ·  Ist-Zustand vs. Soll-Zustand  ·  SAP SE</t>
  </si>
  <si>
    <t>Manuell (Ist-Zustand)</t>
  </si>
  <si>
    <t>KI-PoC (Soll-Zustand)</t>
  </si>
  <si>
    <t>Verbesserung</t>
  </si>
  <si>
    <t>Bearbeitungszeit
pro Analyse</t>
  </si>
  <si>
    <t>4–6 Stunden manuell</t>
  </si>
  <si>
    <t>&lt; 2 Minuten automatisch</t>
  </si>
  <si>
    <t>–95 % Zeitersparnis</t>
  </si>
  <si>
    <t>Verarbeitete Quellen</t>
  </si>
  <si>
    <t>5–10 Quellen (Kapazitätsgrenze Analyst)</t>
  </si>
  <si>
    <t>Unbegrenzt – skalierbar via API</t>
  </si>
  <si>
    <t>10× mehr Quellen möglich</t>
  </si>
  <si>
    <t>Konsistenz der Bewertung</t>
  </si>
  <si>
    <t>Subjektiv – abhängig vom Analysten</t>
  </si>
  <si>
    <t>Regelbasiert &amp; vollständig reproduzierbar</t>
  </si>
  <si>
    <t>Hohe Nachvollziehbarkeit</t>
  </si>
  <si>
    <t>Auditierbarkeit</t>
  </si>
  <si>
    <t>Nur durch manuelle Notizen in Excel</t>
  </si>
  <si>
    <t>Vollständige Evidenz-Nachverfolgung (RAG)</t>
  </si>
  <si>
    <t>100 % transparent</t>
  </si>
  <si>
    <t>Skalierbarkeit</t>
  </si>
  <si>
    <t>1 Analyst = 1–2 Analysen / Tag</t>
  </si>
  <si>
    <t>Beliebig viele parallele Runs</t>
  </si>
  <si>
    <t>N × Parallelisierung</t>
  </si>
  <si>
    <t>Fehleranfälligkeit</t>
  </si>
  <si>
    <t>Hoch (Ermüdung, Quellen übersehen)</t>
  </si>
  <si>
    <t>Gering (systematisch, regelbasiert)</t>
  </si>
  <si>
    <t>Deutlich reduziertes Risiko</t>
  </si>
  <si>
    <t>Aktualität der Daten</t>
  </si>
  <si>
    <t>Abhängig vom Suchaufwand des Analysten</t>
  </si>
  <si>
    <t>Live-News via API (&lt; 1 Min. alt)</t>
  </si>
  <si>
    <t>Echtzeit-fähig</t>
  </si>
  <si>
    <t>Human-in-the-Loop</t>
  </si>
  <si>
    <t>Analyst = einzige Kontrollinstanz</t>
  </si>
  <si>
    <t>Analyst validiert KI-Ergebnis final</t>
  </si>
  <si>
    <t>Kontrolle bleibt beim Experten</t>
  </si>
  <si>
    <t>Kosten pro Analyse</t>
  </si>
  <si>
    <t>~100–150 EUR (Arbeitszeit Analyst)</t>
  </si>
  <si>
    <t>~0,10–0,50 EUR (API-Kosten)</t>
  </si>
  <si>
    <t>–99 % Kostenreduktion möglich</t>
  </si>
  <si>
    <t>Regulatory Compliance (DORA/MaRisk)</t>
  </si>
  <si>
    <t>Dokumentation aufwändig manuell</t>
  </si>
  <si>
    <t>Audit-Log automatisch generierbar</t>
  </si>
  <si>
    <t>DORA-konform ausbaubar</t>
  </si>
  <si>
    <t>Quelle: Eigene Darstellung im Rahmen der Modularbeit »Digitale Transformation«  ·  KI Research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</si>
</sst>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8"/>
      <color rgb="FF1A5276"/>
      <name val="Arial"/>
    </font>
    <font>
      <i/>
      <sz val="11"/>
      <color rgb="FF555555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1"/>
      <color rgb="FF1A5276"/>
      <name val="Arial"/>
    </font>
    <font>
      <b/>
      <sz val="11"/>
      <color rgb="FF7B241C"/>
      <name val="Arial"/>
    </font>
    <font>
      <b/>
      <sz val="13"/>
      <color rgb="FF1A5276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10"/>
      <color rgb="FF7B241C"/>
      <name val="Arial"/>
    </font>
    <font>
      <b/>
      <sz val="11"/>
      <color rgb="FF000000"/>
      <name val="Arial"/>
    </font>
    <font>
      <b/>
      <sz val="10"/>
      <color rgb="FF922B21"/>
      <name val="Arial"/>
    </font>
    <font>
      <b/>
      <sz val="10"/>
      <color rgb="FF7D6608"/>
      <name val="Arial"/>
    </font>
    <font>
      <b/>
      <sz val="10"/>
      <color rgb="FF1E8449"/>
      <name val="Arial"/>
    </font>
    <font>
      <b/>
      <sz val="11"/>
      <color rgb="FF1E8449"/>
      <name val="Arial"/>
    </font>
    <font>
      <i/>
      <sz val="10"/>
      <color rgb="FF555555"/>
      <name val="Arial"/>
    </font>
    <font>
      <sz val="10"/>
      <color rgb="FF922B21"/>
      <name val="Arial"/>
    </font>
    <font>
      <b/>
      <sz val="10"/>
      <color rgb="FF1A5276"/>
      <name val="Arial"/>
    </font>
    <font>
      <i/>
      <sz val="9"/>
      <color rgb="FF888888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F4F6F7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922B21"/>
      </patternFill>
    </fill>
    <fill>
      <patternFill patternType="solid">
        <fgColor rgb="FFFDEDEC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2" fontId="10" fillId="7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9" fontId="10" fillId="9" borderId="1" xfId="0" applyNumberFormat="1" applyFont="1" applyFill="1" applyBorder="1" applyAlignment="1">
      <alignment horizontal="center" vertical="center"/>
    </xf>
    <xf numFmtId="2" fontId="10" fillId="9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2" fontId="12" fillId="8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9" fontId="10" fillId="11" borderId="1" xfId="0" applyNumberFormat="1" applyFont="1" applyFill="1" applyBorder="1" applyAlignment="1">
      <alignment horizontal="center" vertical="center"/>
    </xf>
    <xf numFmtId="2" fontId="10" fillId="11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2" fontId="12" fillId="10" borderId="1" xfId="0" applyNumberFormat="1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9" fontId="10" fillId="12" borderId="1" xfId="0" applyNumberFormat="1" applyFont="1" applyFill="1" applyBorder="1" applyAlignment="1">
      <alignment horizontal="center" vertical="center"/>
    </xf>
    <xf numFmtId="2" fontId="10" fillId="12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9" fontId="14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/>
    </xf>
    <xf numFmtId="0" fontId="0" fillId="0" borderId="0" xfId="0"/>
    <xf numFmtId="0" fontId="15" fillId="5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8" fillId="7" borderId="2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showGridLines="0" tabSelected="1" topLeftCell="A12" zoomScale="85" zoomScaleNormal="85" workbookViewId="0">
      <selection activeCell="C17" sqref="C17:D17"/>
    </sheetView>
  </sheetViews>
  <sheetFormatPr baseColWidth="10" defaultColWidth="8.7265625" defaultRowHeight="14.5" x14ac:dyDescent="0.35"/>
  <cols>
    <col min="1" max="1" width="2" customWidth="1"/>
    <col min="2" max="2" width="6" customWidth="1"/>
    <col min="3" max="4" width="22" customWidth="1"/>
    <col min="5" max="8" width="20" customWidth="1"/>
  </cols>
  <sheetData>
    <row r="2" spans="2:8" ht="34" customHeight="1" x14ac:dyDescent="0.35">
      <c r="B2" s="64" t="s">
        <v>0</v>
      </c>
      <c r="C2" s="55"/>
      <c r="D2" s="55"/>
      <c r="E2" s="55"/>
      <c r="F2" s="55"/>
      <c r="G2" s="55"/>
      <c r="H2" s="55"/>
    </row>
    <row r="3" spans="2:8" ht="20" customHeight="1" x14ac:dyDescent="0.35">
      <c r="B3" s="68" t="s">
        <v>1</v>
      </c>
      <c r="C3" s="55"/>
      <c r="D3" s="55"/>
      <c r="E3" s="55"/>
      <c r="F3" s="55"/>
      <c r="G3" s="55"/>
      <c r="H3" s="55"/>
    </row>
    <row r="4" spans="2:8" ht="4" customHeight="1" x14ac:dyDescent="0.35">
      <c r="B4" s="1"/>
      <c r="C4" s="1"/>
      <c r="D4" s="1"/>
      <c r="E4" s="1"/>
      <c r="F4" s="1"/>
      <c r="G4" s="1"/>
      <c r="H4" s="1"/>
    </row>
    <row r="6" spans="2:8" ht="20" customHeight="1" x14ac:dyDescent="0.35">
      <c r="B6" s="2" t="s">
        <v>2</v>
      </c>
      <c r="C6" s="67" t="s">
        <v>3</v>
      </c>
      <c r="D6" s="55"/>
      <c r="E6" s="55"/>
      <c r="F6" s="55"/>
      <c r="G6" s="55"/>
      <c r="H6" s="55"/>
    </row>
    <row r="7" spans="2:8" ht="20" customHeight="1" x14ac:dyDescent="0.35">
      <c r="B7" s="2" t="s">
        <v>4</v>
      </c>
      <c r="C7" s="67" t="s">
        <v>5</v>
      </c>
      <c r="D7" s="55"/>
      <c r="E7" s="55"/>
      <c r="F7" s="55"/>
      <c r="G7" s="55"/>
      <c r="H7" s="55"/>
    </row>
    <row r="8" spans="2:8" ht="20" customHeight="1" x14ac:dyDescent="0.35">
      <c r="B8" s="2" t="s">
        <v>6</v>
      </c>
      <c r="C8" s="67" t="s">
        <v>7</v>
      </c>
      <c r="D8" s="55"/>
      <c r="E8" s="55"/>
      <c r="F8" s="55"/>
      <c r="G8" s="55"/>
      <c r="H8" s="55"/>
    </row>
    <row r="9" spans="2:8" ht="20" customHeight="1" x14ac:dyDescent="0.35">
      <c r="B9" s="2" t="s">
        <v>8</v>
      </c>
      <c r="C9" s="67" t="s">
        <v>9</v>
      </c>
      <c r="D9" s="55"/>
      <c r="E9" s="55"/>
      <c r="F9" s="55"/>
      <c r="G9" s="55"/>
      <c r="H9" s="55"/>
    </row>
    <row r="10" spans="2:8" ht="20" customHeight="1" x14ac:dyDescent="0.35">
      <c r="B10" s="2" t="s">
        <v>10</v>
      </c>
      <c r="C10" s="67" t="s">
        <v>11</v>
      </c>
      <c r="D10" s="55"/>
      <c r="E10" s="55"/>
      <c r="F10" s="55"/>
      <c r="G10" s="55"/>
      <c r="H10" s="55"/>
    </row>
    <row r="12" spans="2:8" ht="24" customHeight="1" x14ac:dyDescent="0.35">
      <c r="B12" s="70" t="s">
        <v>12</v>
      </c>
      <c r="C12" s="55"/>
      <c r="D12" s="55"/>
      <c r="E12" s="55"/>
      <c r="F12" s="55"/>
      <c r="G12" s="55"/>
      <c r="H12" s="55"/>
    </row>
    <row r="13" spans="2:8" ht="26" customHeight="1" x14ac:dyDescent="0.35">
      <c r="B13" s="3" t="s">
        <v>13</v>
      </c>
      <c r="C13" s="65" t="s">
        <v>14</v>
      </c>
      <c r="D13" s="55"/>
      <c r="E13" s="66" t="s">
        <v>15</v>
      </c>
      <c r="F13" s="55"/>
      <c r="G13" s="55"/>
      <c r="H13" s="55"/>
    </row>
    <row r="14" spans="2:8" ht="26" customHeight="1" x14ac:dyDescent="0.35">
      <c r="B14" s="4" t="s">
        <v>16</v>
      </c>
      <c r="C14" s="71" t="s">
        <v>17</v>
      </c>
      <c r="D14" s="55"/>
      <c r="E14" s="69" t="s">
        <v>18</v>
      </c>
      <c r="F14" s="55"/>
      <c r="G14" s="55"/>
      <c r="H14" s="55"/>
    </row>
    <row r="15" spans="2:8" ht="26" customHeight="1" x14ac:dyDescent="0.35">
      <c r="B15" s="3" t="s">
        <v>19</v>
      </c>
      <c r="C15" s="65" t="s">
        <v>20</v>
      </c>
      <c r="D15" s="55"/>
      <c r="E15" s="66" t="s">
        <v>21</v>
      </c>
      <c r="F15" s="55"/>
      <c r="G15" s="55"/>
      <c r="H15" s="55"/>
    </row>
    <row r="16" spans="2:8" ht="26" customHeight="1" x14ac:dyDescent="0.35">
      <c r="B16" s="4" t="s">
        <v>22</v>
      </c>
      <c r="C16" s="71" t="s">
        <v>23</v>
      </c>
      <c r="D16" s="55"/>
      <c r="E16" s="69" t="s">
        <v>24</v>
      </c>
      <c r="F16" s="55"/>
      <c r="G16" s="55"/>
      <c r="H16" s="55"/>
    </row>
    <row r="17" spans="2:8" ht="26" customHeight="1" x14ac:dyDescent="0.35">
      <c r="B17" s="3" t="s">
        <v>25</v>
      </c>
      <c r="C17" s="65" t="s">
        <v>26</v>
      </c>
      <c r="D17" s="55"/>
      <c r="E17" s="66" t="s">
        <v>27</v>
      </c>
      <c r="F17" s="55"/>
      <c r="G17" s="55"/>
      <c r="H17" s="55"/>
    </row>
    <row r="19" spans="2:8" ht="28" customHeight="1" x14ac:dyDescent="0.35">
      <c r="B19" s="63" t="s">
        <v>28</v>
      </c>
      <c r="C19" s="55"/>
      <c r="D19" s="55"/>
      <c r="E19" s="55"/>
      <c r="F19" s="55"/>
      <c r="G19" s="55"/>
      <c r="H19" s="55"/>
    </row>
  </sheetData>
  <mergeCells count="19">
    <mergeCell ref="E16:H16"/>
    <mergeCell ref="C14:D14"/>
    <mergeCell ref="C16:D16"/>
    <mergeCell ref="B19:H19"/>
    <mergeCell ref="B2:H2"/>
    <mergeCell ref="C17:D17"/>
    <mergeCell ref="E13:H13"/>
    <mergeCell ref="C6:H6"/>
    <mergeCell ref="E15:H15"/>
    <mergeCell ref="C13:D13"/>
    <mergeCell ref="C8:H8"/>
    <mergeCell ref="B3:H3"/>
    <mergeCell ref="C7:H7"/>
    <mergeCell ref="E14:H14"/>
    <mergeCell ref="E17:H17"/>
    <mergeCell ref="B12:H12"/>
    <mergeCell ref="C10:H10"/>
    <mergeCell ref="C15:D15"/>
    <mergeCell ref="C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="70" zoomScaleNormal="70" workbookViewId="0">
      <selection sqref="A1:H1"/>
    </sheetView>
  </sheetViews>
  <sheetFormatPr baseColWidth="10" defaultColWidth="8.7265625" defaultRowHeight="14.5" x14ac:dyDescent="0.35"/>
  <cols>
    <col min="1" max="1" width="5" customWidth="1"/>
    <col min="2" max="2" width="13" customWidth="1"/>
    <col min="3" max="3" width="20" customWidth="1"/>
    <col min="4" max="4" width="40" customWidth="1"/>
    <col min="5" max="5" width="44" customWidth="1"/>
    <col min="6" max="7" width="11" customWidth="1"/>
    <col min="8" max="8" width="34" customWidth="1"/>
  </cols>
  <sheetData>
    <row r="1" spans="1:8" ht="28" customHeight="1" x14ac:dyDescent="0.35">
      <c r="A1" s="58" t="s">
        <v>29</v>
      </c>
      <c r="B1" s="55"/>
      <c r="C1" s="55"/>
      <c r="D1" s="55"/>
      <c r="E1" s="55"/>
      <c r="F1" s="55"/>
      <c r="G1" s="55"/>
      <c r="H1" s="55"/>
    </row>
    <row r="3" spans="1:8" ht="32" customHeight="1" x14ac:dyDescent="0.35">
      <c r="A3" s="5" t="s">
        <v>30</v>
      </c>
      <c r="B3" s="5" t="s">
        <v>4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</row>
    <row r="4" spans="1:8" ht="38" customHeight="1" x14ac:dyDescent="0.35">
      <c r="A4" s="6">
        <v>1</v>
      </c>
      <c r="B4" s="7" t="s">
        <v>37</v>
      </c>
      <c r="C4" s="7" t="s">
        <v>38</v>
      </c>
      <c r="D4" s="7" t="s">
        <v>39</v>
      </c>
      <c r="E4" s="7" t="s">
        <v>40</v>
      </c>
      <c r="F4" s="8" t="s">
        <v>41</v>
      </c>
      <c r="G4" s="6">
        <v>4</v>
      </c>
      <c r="H4" s="7" t="s">
        <v>42</v>
      </c>
    </row>
    <row r="5" spans="1:8" ht="38" customHeight="1" x14ac:dyDescent="0.35">
      <c r="A5" s="9">
        <v>2</v>
      </c>
      <c r="B5" s="10" t="s">
        <v>43</v>
      </c>
      <c r="C5" s="10" t="s">
        <v>44</v>
      </c>
      <c r="D5" s="10" t="s">
        <v>45</v>
      </c>
      <c r="E5" s="10" t="s">
        <v>46</v>
      </c>
      <c r="F5" s="8" t="s">
        <v>41</v>
      </c>
      <c r="G5" s="9">
        <v>3</v>
      </c>
      <c r="H5" s="10" t="s">
        <v>47</v>
      </c>
    </row>
    <row r="6" spans="1:8" ht="38" customHeight="1" x14ac:dyDescent="0.35">
      <c r="A6" s="6">
        <v>3</v>
      </c>
      <c r="B6" s="7" t="s">
        <v>48</v>
      </c>
      <c r="C6" s="7" t="s">
        <v>49</v>
      </c>
      <c r="D6" s="7" t="s">
        <v>50</v>
      </c>
      <c r="E6" s="7" t="s">
        <v>51</v>
      </c>
      <c r="F6" s="11" t="s">
        <v>52</v>
      </c>
      <c r="G6" s="6">
        <v>5</v>
      </c>
      <c r="H6" s="7" t="s">
        <v>53</v>
      </c>
    </row>
    <row r="7" spans="1:8" ht="38" customHeight="1" x14ac:dyDescent="0.35">
      <c r="A7" s="9">
        <v>4</v>
      </c>
      <c r="B7" s="10" t="s">
        <v>54</v>
      </c>
      <c r="C7" s="10" t="s">
        <v>55</v>
      </c>
      <c r="D7" s="10" t="s">
        <v>56</v>
      </c>
      <c r="E7" s="10" t="s">
        <v>57</v>
      </c>
      <c r="F7" s="11" t="s">
        <v>52</v>
      </c>
      <c r="G7" s="9">
        <v>4</v>
      </c>
      <c r="H7" s="10" t="s">
        <v>58</v>
      </c>
    </row>
    <row r="8" spans="1:8" ht="38" customHeight="1" x14ac:dyDescent="0.35">
      <c r="A8" s="6">
        <v>5</v>
      </c>
      <c r="B8" s="7" t="s">
        <v>59</v>
      </c>
      <c r="C8" s="7" t="s">
        <v>60</v>
      </c>
      <c r="D8" s="7" t="s">
        <v>61</v>
      </c>
      <c r="E8" s="7" t="s">
        <v>62</v>
      </c>
      <c r="F8" s="12" t="s">
        <v>63</v>
      </c>
      <c r="G8" s="6">
        <v>4</v>
      </c>
      <c r="H8" s="7" t="s">
        <v>64</v>
      </c>
    </row>
    <row r="9" spans="1:8" ht="38" customHeight="1" x14ac:dyDescent="0.35">
      <c r="A9" s="9">
        <v>6</v>
      </c>
      <c r="B9" s="10" t="s">
        <v>65</v>
      </c>
      <c r="C9" s="10" t="s">
        <v>66</v>
      </c>
      <c r="D9" s="10" t="s">
        <v>67</v>
      </c>
      <c r="E9" s="10" t="s">
        <v>68</v>
      </c>
      <c r="F9" s="11" t="s">
        <v>52</v>
      </c>
      <c r="G9" s="9">
        <v>3</v>
      </c>
      <c r="H9" s="10" t="s">
        <v>69</v>
      </c>
    </row>
    <row r="10" spans="1:8" ht="38" customHeight="1" x14ac:dyDescent="0.35">
      <c r="A10" s="6">
        <v>7</v>
      </c>
      <c r="B10" s="7" t="s">
        <v>70</v>
      </c>
      <c r="C10" s="7" t="s">
        <v>71</v>
      </c>
      <c r="D10" s="7" t="s">
        <v>72</v>
      </c>
      <c r="E10" s="7" t="s">
        <v>73</v>
      </c>
      <c r="F10" s="11" t="s">
        <v>52</v>
      </c>
      <c r="G10" s="6">
        <v>5</v>
      </c>
      <c r="H10" s="7" t="s">
        <v>74</v>
      </c>
    </row>
    <row r="11" spans="1:8" ht="38" customHeight="1" x14ac:dyDescent="0.35">
      <c r="A11" s="9">
        <v>8</v>
      </c>
      <c r="B11" s="10" t="s">
        <v>75</v>
      </c>
      <c r="C11" s="10" t="s">
        <v>76</v>
      </c>
      <c r="D11" s="10" t="s">
        <v>77</v>
      </c>
      <c r="E11" s="10" t="s">
        <v>78</v>
      </c>
      <c r="F11" s="11" t="s">
        <v>52</v>
      </c>
      <c r="G11" s="9">
        <v>4</v>
      </c>
      <c r="H11" s="10" t="s">
        <v>79</v>
      </c>
    </row>
    <row r="12" spans="1:8" ht="38" customHeight="1" x14ac:dyDescent="0.35">
      <c r="A12" s="6">
        <v>9</v>
      </c>
      <c r="B12" s="7" t="s">
        <v>80</v>
      </c>
      <c r="C12" s="7" t="s">
        <v>81</v>
      </c>
      <c r="D12" s="7" t="s">
        <v>82</v>
      </c>
      <c r="E12" s="7" t="s">
        <v>83</v>
      </c>
      <c r="F12" s="12" t="s">
        <v>63</v>
      </c>
      <c r="G12" s="6">
        <v>3</v>
      </c>
      <c r="H12" s="7" t="s">
        <v>84</v>
      </c>
    </row>
    <row r="13" spans="1:8" ht="38" customHeight="1" x14ac:dyDescent="0.35">
      <c r="A13" s="9">
        <v>10</v>
      </c>
      <c r="B13" s="10" t="s">
        <v>85</v>
      </c>
      <c r="C13" s="10" t="s">
        <v>86</v>
      </c>
      <c r="D13" s="10" t="s">
        <v>87</v>
      </c>
      <c r="E13" s="10" t="s">
        <v>88</v>
      </c>
      <c r="F13" s="11" t="s">
        <v>52</v>
      </c>
      <c r="G13" s="9">
        <v>5</v>
      </c>
      <c r="H13" s="10" t="s">
        <v>89</v>
      </c>
    </row>
    <row r="15" spans="1:8" ht="18" customHeight="1" x14ac:dyDescent="0.35">
      <c r="A15" s="13" t="s">
        <v>90</v>
      </c>
      <c r="B15" s="11" t="s">
        <v>52</v>
      </c>
      <c r="C15" s="8" t="s">
        <v>41</v>
      </c>
      <c r="D15" s="12" t="s">
        <v>63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topLeftCell="A6" workbookViewId="0">
      <selection activeCell="E12" sqref="E12"/>
    </sheetView>
  </sheetViews>
  <sheetFormatPr baseColWidth="10" defaultColWidth="8.7265625" defaultRowHeight="14.5" x14ac:dyDescent="0.35"/>
  <cols>
    <col min="1" max="1" width="30" customWidth="1"/>
    <col min="2" max="3" width="14" customWidth="1"/>
    <col min="4" max="4" width="10" customWidth="1"/>
    <col min="5" max="5" width="18" customWidth="1"/>
    <col min="6" max="6" width="24" customWidth="1"/>
  </cols>
  <sheetData>
    <row r="1" spans="1:6" ht="28" customHeight="1" x14ac:dyDescent="0.35">
      <c r="A1" s="58" t="s">
        <v>91</v>
      </c>
      <c r="B1" s="55"/>
      <c r="C1" s="55"/>
      <c r="D1" s="55"/>
      <c r="E1" s="55"/>
      <c r="F1" s="55"/>
    </row>
    <row r="3" spans="1:6" ht="22" customHeight="1" x14ac:dyDescent="0.35">
      <c r="A3" s="73" t="s">
        <v>92</v>
      </c>
      <c r="B3" s="55"/>
      <c r="C3" s="55"/>
      <c r="D3" s="55"/>
      <c r="E3" s="55"/>
      <c r="F3" s="55"/>
    </row>
    <row r="4" spans="1:6" ht="30" customHeight="1" x14ac:dyDescent="0.35">
      <c r="A4" s="14" t="s">
        <v>93</v>
      </c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</row>
    <row r="5" spans="1:6" ht="20" customHeight="1" x14ac:dyDescent="0.35">
      <c r="A5" s="15" t="s">
        <v>99</v>
      </c>
      <c r="B5" s="16">
        <v>6</v>
      </c>
      <c r="C5" s="17">
        <v>0.2</v>
      </c>
      <c r="D5" s="16">
        <v>5</v>
      </c>
      <c r="E5" s="18">
        <f t="shared" ref="E5:E11" si="0">C5*D5</f>
        <v>1</v>
      </c>
      <c r="F5" s="15" t="s">
        <v>100</v>
      </c>
    </row>
    <row r="6" spans="1:6" ht="20" customHeight="1" x14ac:dyDescent="0.35">
      <c r="A6" s="19" t="s">
        <v>101</v>
      </c>
      <c r="B6" s="20">
        <v>3</v>
      </c>
      <c r="C6" s="21">
        <v>0.15</v>
      </c>
      <c r="D6" s="20">
        <v>4</v>
      </c>
      <c r="E6" s="22">
        <f t="shared" si="0"/>
        <v>0.6</v>
      </c>
      <c r="F6" s="19" t="s">
        <v>102</v>
      </c>
    </row>
    <row r="7" spans="1:6" ht="20" customHeight="1" x14ac:dyDescent="0.35">
      <c r="A7" s="15" t="s">
        <v>103</v>
      </c>
      <c r="B7" s="16">
        <v>5</v>
      </c>
      <c r="C7" s="17">
        <v>0.2</v>
      </c>
      <c r="D7" s="16">
        <v>5</v>
      </c>
      <c r="E7" s="18">
        <f t="shared" si="0"/>
        <v>1</v>
      </c>
      <c r="F7" s="15" t="s">
        <v>104</v>
      </c>
    </row>
    <row r="8" spans="1:6" ht="20" customHeight="1" x14ac:dyDescent="0.35">
      <c r="A8" s="19" t="s">
        <v>105</v>
      </c>
      <c r="B8" s="20">
        <v>2</v>
      </c>
      <c r="C8" s="21">
        <v>0.15</v>
      </c>
      <c r="D8" s="20">
        <v>4</v>
      </c>
      <c r="E8" s="22">
        <f t="shared" si="0"/>
        <v>0.6</v>
      </c>
      <c r="F8" s="19" t="s">
        <v>106</v>
      </c>
    </row>
    <row r="9" spans="1:6" ht="20" customHeight="1" x14ac:dyDescent="0.35">
      <c r="A9" s="15" t="s">
        <v>107</v>
      </c>
      <c r="B9" s="16">
        <v>2</v>
      </c>
      <c r="C9" s="17">
        <v>0.1</v>
      </c>
      <c r="D9" s="16">
        <v>3</v>
      </c>
      <c r="E9" s="18">
        <f t="shared" si="0"/>
        <v>0.30000000000000004</v>
      </c>
      <c r="F9" s="15" t="s">
        <v>108</v>
      </c>
    </row>
    <row r="10" spans="1:6" ht="20" customHeight="1" x14ac:dyDescent="0.35">
      <c r="A10" s="19" t="s">
        <v>109</v>
      </c>
      <c r="B10" s="20">
        <v>2</v>
      </c>
      <c r="C10" s="21">
        <v>0.1</v>
      </c>
      <c r="D10" s="20">
        <v>4</v>
      </c>
      <c r="E10" s="22">
        <f t="shared" si="0"/>
        <v>0.4</v>
      </c>
      <c r="F10" s="19" t="s">
        <v>110</v>
      </c>
    </row>
    <row r="11" spans="1:6" ht="20" customHeight="1" x14ac:dyDescent="0.35">
      <c r="A11" s="15" t="s">
        <v>111</v>
      </c>
      <c r="B11" s="16">
        <v>2</v>
      </c>
      <c r="C11" s="17">
        <v>0.1</v>
      </c>
      <c r="D11" s="16">
        <v>3</v>
      </c>
      <c r="E11" s="18">
        <f t="shared" si="0"/>
        <v>0.30000000000000004</v>
      </c>
      <c r="F11" s="15" t="s">
        <v>112</v>
      </c>
    </row>
    <row r="12" spans="1:6" ht="22" customHeight="1" x14ac:dyDescent="0.35">
      <c r="A12" s="23" t="s">
        <v>113</v>
      </c>
      <c r="E12" s="24">
        <f>SUM(E5:E11)</f>
        <v>4.2</v>
      </c>
    </row>
    <row r="14" spans="1:6" ht="22" customHeight="1" x14ac:dyDescent="0.35">
      <c r="A14" s="73" t="s">
        <v>114</v>
      </c>
      <c r="B14" s="55"/>
      <c r="C14" s="55"/>
      <c r="D14" s="55"/>
      <c r="E14" s="55"/>
      <c r="F14" s="55"/>
    </row>
    <row r="15" spans="1:6" ht="30" customHeight="1" x14ac:dyDescent="0.35">
      <c r="A15" s="25" t="s">
        <v>93</v>
      </c>
      <c r="B15" s="25" t="s">
        <v>94</v>
      </c>
      <c r="C15" s="25" t="s">
        <v>95</v>
      </c>
      <c r="D15" s="25" t="s">
        <v>96</v>
      </c>
      <c r="E15" s="25" t="s">
        <v>97</v>
      </c>
      <c r="F15" s="25" t="s">
        <v>98</v>
      </c>
    </row>
    <row r="16" spans="1:6" ht="20" customHeight="1" x14ac:dyDescent="0.35">
      <c r="A16" s="26" t="s">
        <v>115</v>
      </c>
      <c r="B16" s="27">
        <v>1</v>
      </c>
      <c r="C16" s="28">
        <v>0.3</v>
      </c>
      <c r="D16" s="27">
        <v>3</v>
      </c>
      <c r="E16" s="29">
        <f>C16*D16</f>
        <v>0.89999999999999991</v>
      </c>
      <c r="F16" s="26" t="s">
        <v>13</v>
      </c>
    </row>
    <row r="17" spans="1:6" ht="20" customHeight="1" x14ac:dyDescent="0.35">
      <c r="A17" s="30" t="s">
        <v>116</v>
      </c>
      <c r="B17" s="31">
        <v>2</v>
      </c>
      <c r="C17" s="32">
        <v>0.25</v>
      </c>
      <c r="D17" s="31">
        <v>4</v>
      </c>
      <c r="E17" s="33">
        <f>C17*D17</f>
        <v>1</v>
      </c>
      <c r="F17" s="30" t="s">
        <v>25</v>
      </c>
    </row>
    <row r="18" spans="1:6" ht="20" customHeight="1" x14ac:dyDescent="0.35">
      <c r="A18" s="26" t="s">
        <v>117</v>
      </c>
      <c r="B18" s="27">
        <v>1</v>
      </c>
      <c r="C18" s="28">
        <v>0.2</v>
      </c>
      <c r="D18" s="27">
        <v>2</v>
      </c>
      <c r="E18" s="29">
        <f>C18*D18</f>
        <v>0.4</v>
      </c>
      <c r="F18" s="26" t="s">
        <v>22</v>
      </c>
    </row>
    <row r="19" spans="1:6" ht="20" customHeight="1" x14ac:dyDescent="0.35">
      <c r="A19" s="30" t="s">
        <v>118</v>
      </c>
      <c r="B19" s="31">
        <v>1</v>
      </c>
      <c r="C19" s="32">
        <v>0.15</v>
      </c>
      <c r="D19" s="31">
        <v>2</v>
      </c>
      <c r="E19" s="33">
        <f>C19*D19</f>
        <v>0.3</v>
      </c>
      <c r="F19" s="30" t="s">
        <v>119</v>
      </c>
    </row>
    <row r="20" spans="1:6" ht="20" customHeight="1" x14ac:dyDescent="0.35">
      <c r="A20" s="26" t="s">
        <v>120</v>
      </c>
      <c r="B20" s="27">
        <v>1</v>
      </c>
      <c r="C20" s="28">
        <v>0.1</v>
      </c>
      <c r="D20" s="27">
        <v>2</v>
      </c>
      <c r="E20" s="29">
        <f>C20*D20</f>
        <v>0.2</v>
      </c>
      <c r="F20" s="26" t="s">
        <v>16</v>
      </c>
    </row>
    <row r="21" spans="1:6" ht="22" customHeight="1" x14ac:dyDescent="0.35">
      <c r="A21" s="34" t="s">
        <v>121</v>
      </c>
      <c r="E21" s="35">
        <f>SUM(E16:E20)</f>
        <v>2.8</v>
      </c>
    </row>
    <row r="23" spans="1:6" ht="26" customHeight="1" x14ac:dyDescent="0.35">
      <c r="A23" s="72" t="s">
        <v>122</v>
      </c>
      <c r="B23" s="55"/>
      <c r="C23" s="55"/>
      <c r="D23" s="55"/>
      <c r="E23" s="36">
        <f>E12-E21</f>
        <v>1.4000000000000004</v>
      </c>
    </row>
    <row r="25" spans="1:6" ht="24" customHeight="1" x14ac:dyDescent="0.35">
      <c r="A25" s="54" t="s">
        <v>123</v>
      </c>
      <c r="B25" s="55"/>
      <c r="C25" s="55"/>
      <c r="D25" s="55"/>
      <c r="E25" s="55"/>
      <c r="F25" s="55"/>
    </row>
  </sheetData>
  <mergeCells count="5">
    <mergeCell ref="A23:D23"/>
    <mergeCell ref="A14:F14"/>
    <mergeCell ref="A1:F1"/>
    <mergeCell ref="A3:F3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showGridLines="0" topLeftCell="A5" zoomScale="70" zoomScaleNormal="70" workbookViewId="0">
      <selection activeCell="E10" sqref="E10"/>
    </sheetView>
  </sheetViews>
  <sheetFormatPr baseColWidth="10" defaultColWidth="8.7265625" defaultRowHeight="14.5" x14ac:dyDescent="0.35"/>
  <cols>
    <col min="1" max="1" width="22" customWidth="1"/>
    <col min="2" max="2" width="40" customWidth="1"/>
    <col min="3" max="3" width="14" customWidth="1"/>
    <col min="4" max="4" width="10" customWidth="1"/>
    <col min="5" max="5" width="16" customWidth="1"/>
    <col min="6" max="6" width="14" customWidth="1"/>
    <col min="7" max="7" width="38" customWidth="1"/>
  </cols>
  <sheetData>
    <row r="1" spans="1:7" ht="28" customHeight="1" x14ac:dyDescent="0.35">
      <c r="A1" s="58" t="s">
        <v>124</v>
      </c>
      <c r="B1" s="55"/>
      <c r="C1" s="55"/>
      <c r="D1" s="55"/>
      <c r="E1" s="55"/>
      <c r="F1" s="55"/>
      <c r="G1" s="55"/>
    </row>
    <row r="3" spans="1:7" ht="34" customHeight="1" x14ac:dyDescent="0.35">
      <c r="A3" s="5" t="s">
        <v>125</v>
      </c>
      <c r="B3" s="5" t="s">
        <v>126</v>
      </c>
      <c r="C3" s="5" t="s">
        <v>127</v>
      </c>
      <c r="D3" s="5" t="s">
        <v>96</v>
      </c>
      <c r="E3" s="5" t="s">
        <v>97</v>
      </c>
      <c r="F3" s="5" t="s">
        <v>128</v>
      </c>
      <c r="G3" s="5" t="s">
        <v>129</v>
      </c>
    </row>
    <row r="4" spans="1:7" ht="36" customHeight="1" x14ac:dyDescent="0.35">
      <c r="A4" s="7" t="s">
        <v>130</v>
      </c>
      <c r="B4" s="7" t="s">
        <v>131</v>
      </c>
      <c r="C4" s="37">
        <v>0.25</v>
      </c>
      <c r="D4" s="38">
        <v>4</v>
      </c>
      <c r="E4" s="38">
        <f>C4*D4</f>
        <v>1</v>
      </c>
      <c r="F4" s="6" t="s">
        <v>132</v>
      </c>
      <c r="G4" s="7" t="s">
        <v>133</v>
      </c>
    </row>
    <row r="5" spans="1:7" ht="36" customHeight="1" x14ac:dyDescent="0.35">
      <c r="A5" s="39" t="s">
        <v>134</v>
      </c>
      <c r="B5" s="39" t="s">
        <v>135</v>
      </c>
      <c r="C5" s="40">
        <v>0.2</v>
      </c>
      <c r="D5" s="41">
        <v>3</v>
      </c>
      <c r="E5" s="41">
        <f>C5*D5</f>
        <v>0.60000000000000009</v>
      </c>
      <c r="F5" s="42" t="s">
        <v>136</v>
      </c>
      <c r="G5" s="39" t="s">
        <v>137</v>
      </c>
    </row>
    <row r="6" spans="1:7" ht="36" customHeight="1" x14ac:dyDescent="0.35">
      <c r="A6" s="7" t="s">
        <v>138</v>
      </c>
      <c r="B6" s="7" t="s">
        <v>139</v>
      </c>
      <c r="C6" s="37">
        <v>0.2</v>
      </c>
      <c r="D6" s="38">
        <v>4</v>
      </c>
      <c r="E6" s="38">
        <f>C6*D6</f>
        <v>0.8</v>
      </c>
      <c r="F6" s="6" t="s">
        <v>52</v>
      </c>
      <c r="G6" s="7" t="s">
        <v>140</v>
      </c>
    </row>
    <row r="7" spans="1:7" ht="36" customHeight="1" x14ac:dyDescent="0.35">
      <c r="A7" s="39" t="s">
        <v>141</v>
      </c>
      <c r="B7" s="39" t="s">
        <v>142</v>
      </c>
      <c r="C7" s="40">
        <v>0.2</v>
      </c>
      <c r="D7" s="41">
        <v>3</v>
      </c>
      <c r="E7" s="41">
        <f>C7*D7</f>
        <v>0.60000000000000009</v>
      </c>
      <c r="F7" s="42" t="s">
        <v>143</v>
      </c>
      <c r="G7" s="39" t="s">
        <v>144</v>
      </c>
    </row>
    <row r="8" spans="1:7" ht="36" customHeight="1" x14ac:dyDescent="0.35">
      <c r="A8" s="7" t="s">
        <v>145</v>
      </c>
      <c r="B8" s="7" t="s">
        <v>146</v>
      </c>
      <c r="C8" s="37">
        <v>0.15</v>
      </c>
      <c r="D8" s="38">
        <v>4</v>
      </c>
      <c r="E8" s="38">
        <f>C8*D8</f>
        <v>0.6</v>
      </c>
      <c r="F8" s="6" t="s">
        <v>52</v>
      </c>
      <c r="G8" s="7" t="s">
        <v>147</v>
      </c>
    </row>
    <row r="10" spans="1:7" ht="26" customHeight="1" x14ac:dyDescent="0.35">
      <c r="A10" s="61" t="s">
        <v>148</v>
      </c>
      <c r="B10" s="55"/>
      <c r="C10" s="43">
        <f>SUM(C4:C8)</f>
        <v>1</v>
      </c>
      <c r="E10" s="44">
        <f>SUM(E4:E8)</f>
        <v>3.6000000000000005</v>
      </c>
    </row>
    <row r="12" spans="1:7" ht="26" customHeight="1" x14ac:dyDescent="0.35">
      <c r="A12" s="60" t="s">
        <v>149</v>
      </c>
      <c r="B12" s="55"/>
      <c r="C12" s="55"/>
      <c r="D12" s="55"/>
    </row>
    <row r="13" spans="1:7" ht="26" customHeight="1" x14ac:dyDescent="0.35">
      <c r="A13" s="56" t="s">
        <v>150</v>
      </c>
      <c r="B13" s="55"/>
      <c r="C13" s="55"/>
      <c r="D13" s="55"/>
    </row>
    <row r="14" spans="1:7" ht="26" customHeight="1" x14ac:dyDescent="0.35">
      <c r="A14" s="57" t="s">
        <v>151</v>
      </c>
      <c r="B14" s="55"/>
      <c r="C14" s="55"/>
      <c r="D14" s="55"/>
    </row>
    <row r="15" spans="1:7" ht="26" customHeight="1" x14ac:dyDescent="0.35">
      <c r="A15" s="62" t="s">
        <v>152</v>
      </c>
      <c r="B15" s="55"/>
      <c r="C15" s="55"/>
      <c r="D15" s="55"/>
    </row>
    <row r="17" spans="1:7" ht="34" customHeight="1" x14ac:dyDescent="0.35">
      <c r="A17" s="59" t="s">
        <v>153</v>
      </c>
      <c r="B17" s="55"/>
      <c r="C17" s="55"/>
      <c r="D17" s="55"/>
      <c r="E17" s="55"/>
      <c r="F17" s="55"/>
      <c r="G17" s="55"/>
    </row>
    <row r="19" spans="1:7" ht="26" customHeight="1" x14ac:dyDescent="0.35">
      <c r="A19" s="54" t="s">
        <v>154</v>
      </c>
      <c r="B19" s="55"/>
      <c r="C19" s="55"/>
      <c r="D19" s="55"/>
      <c r="E19" s="55"/>
      <c r="F19" s="55"/>
      <c r="G19" s="55"/>
    </row>
  </sheetData>
  <mergeCells count="8">
    <mergeCell ref="A19:G19"/>
    <mergeCell ref="A13:D13"/>
    <mergeCell ref="A14:D14"/>
    <mergeCell ref="A1:G1"/>
    <mergeCell ref="A17:G17"/>
    <mergeCell ref="A12:D12"/>
    <mergeCell ref="A10:B10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topLeftCell="A2" workbookViewId="0">
      <selection sqref="A1:D1"/>
    </sheetView>
  </sheetViews>
  <sheetFormatPr baseColWidth="10" defaultColWidth="8.7265625" defaultRowHeight="14.5" x14ac:dyDescent="0.35"/>
  <cols>
    <col min="1" max="1" width="30" customWidth="1"/>
    <col min="2" max="3" width="38" customWidth="1"/>
    <col min="4" max="4" width="32" customWidth="1"/>
  </cols>
  <sheetData>
    <row r="1" spans="1:4" ht="28" customHeight="1" x14ac:dyDescent="0.35">
      <c r="A1" s="58" t="s">
        <v>155</v>
      </c>
      <c r="B1" s="55"/>
      <c r="C1" s="55"/>
      <c r="D1" s="55"/>
    </row>
    <row r="2" spans="1:4" ht="18" customHeight="1" x14ac:dyDescent="0.35">
      <c r="A2" s="75" t="s">
        <v>156</v>
      </c>
      <c r="B2" s="55"/>
      <c r="C2" s="55"/>
      <c r="D2" s="55"/>
    </row>
    <row r="4" spans="1:4" ht="28" customHeight="1" x14ac:dyDescent="0.35">
      <c r="A4" s="45" t="s">
        <v>125</v>
      </c>
      <c r="B4" s="45" t="s">
        <v>157</v>
      </c>
      <c r="C4" s="45" t="s">
        <v>158</v>
      </c>
      <c r="D4" s="45" t="s">
        <v>159</v>
      </c>
    </row>
    <row r="5" spans="1:4" ht="38" customHeight="1" x14ac:dyDescent="0.35">
      <c r="A5" s="46" t="s">
        <v>160</v>
      </c>
      <c r="B5" s="47" t="s">
        <v>161</v>
      </c>
      <c r="C5" s="48" t="s">
        <v>162</v>
      </c>
      <c r="D5" s="49" t="s">
        <v>163</v>
      </c>
    </row>
    <row r="6" spans="1:4" ht="38" customHeight="1" x14ac:dyDescent="0.35">
      <c r="A6" s="50" t="s">
        <v>164</v>
      </c>
      <c r="B6" s="51" t="s">
        <v>165</v>
      </c>
      <c r="C6" s="52" t="s">
        <v>166</v>
      </c>
      <c r="D6" s="53" t="s">
        <v>167</v>
      </c>
    </row>
    <row r="7" spans="1:4" ht="38" customHeight="1" x14ac:dyDescent="0.35">
      <c r="A7" s="46" t="s">
        <v>168</v>
      </c>
      <c r="B7" s="47" t="s">
        <v>169</v>
      </c>
      <c r="C7" s="48" t="s">
        <v>170</v>
      </c>
      <c r="D7" s="49" t="s">
        <v>171</v>
      </c>
    </row>
    <row r="8" spans="1:4" ht="38" customHeight="1" x14ac:dyDescent="0.35">
      <c r="A8" s="50" t="s">
        <v>172</v>
      </c>
      <c r="B8" s="51" t="s">
        <v>173</v>
      </c>
      <c r="C8" s="52" t="s">
        <v>174</v>
      </c>
      <c r="D8" s="53" t="s">
        <v>175</v>
      </c>
    </row>
    <row r="9" spans="1:4" ht="38" customHeight="1" x14ac:dyDescent="0.35">
      <c r="A9" s="46" t="s">
        <v>176</v>
      </c>
      <c r="B9" s="47" t="s">
        <v>177</v>
      </c>
      <c r="C9" s="48" t="s">
        <v>178</v>
      </c>
      <c r="D9" s="49" t="s">
        <v>179</v>
      </c>
    </row>
    <row r="10" spans="1:4" ht="38" customHeight="1" x14ac:dyDescent="0.35">
      <c r="A10" s="50" t="s">
        <v>180</v>
      </c>
      <c r="B10" s="51" t="s">
        <v>181</v>
      </c>
      <c r="C10" s="52" t="s">
        <v>182</v>
      </c>
      <c r="D10" s="53" t="s">
        <v>183</v>
      </c>
    </row>
    <row r="11" spans="1:4" ht="38" customHeight="1" x14ac:dyDescent="0.35">
      <c r="A11" s="46" t="s">
        <v>184</v>
      </c>
      <c r="B11" s="47" t="s">
        <v>185</v>
      </c>
      <c r="C11" s="48" t="s">
        <v>186</v>
      </c>
      <c r="D11" s="49" t="s">
        <v>187</v>
      </c>
    </row>
    <row r="12" spans="1:4" ht="38" customHeight="1" x14ac:dyDescent="0.35">
      <c r="A12" s="50" t="s">
        <v>188</v>
      </c>
      <c r="B12" s="51" t="s">
        <v>189</v>
      </c>
      <c r="C12" s="52" t="s">
        <v>190</v>
      </c>
      <c r="D12" s="53" t="s">
        <v>191</v>
      </c>
    </row>
    <row r="13" spans="1:4" ht="38" customHeight="1" x14ac:dyDescent="0.35">
      <c r="A13" s="46" t="s">
        <v>192</v>
      </c>
      <c r="B13" s="47" t="s">
        <v>193</v>
      </c>
      <c r="C13" s="48" t="s">
        <v>194</v>
      </c>
      <c r="D13" s="49" t="s">
        <v>195</v>
      </c>
    </row>
    <row r="14" spans="1:4" ht="38" customHeight="1" x14ac:dyDescent="0.35">
      <c r="A14" s="50" t="s">
        <v>196</v>
      </c>
      <c r="B14" s="51" t="s">
        <v>197</v>
      </c>
      <c r="C14" s="52" t="s">
        <v>198</v>
      </c>
      <c r="D14" s="53" t="s">
        <v>199</v>
      </c>
    </row>
    <row r="16" spans="1:4" ht="20" customHeight="1" x14ac:dyDescent="0.35">
      <c r="A16" s="74" t="s">
        <v>200</v>
      </c>
      <c r="B16" s="55"/>
      <c r="C16" s="55"/>
      <c r="D16" s="55"/>
    </row>
  </sheetData>
  <mergeCells count="3">
    <mergeCell ref="A1:D1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Nachrichtenquellen</vt:lpstr>
      <vt:lpstr>Sentiment-Analyse</vt:lpstr>
      <vt:lpstr>Investment-Bewertung</vt:lpstr>
      <vt:lpstr>Vergleich Manuell vs. 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Sujanth Suthaharan</cp:lastModifiedBy>
  <dcterms:created xsi:type="dcterms:W3CDTF">2026-06-09T19:33:57Z</dcterms:created>
  <dcterms:modified xsi:type="dcterms:W3CDTF">2026-06-26T10:46:46Z</dcterms:modified>
</cp:coreProperties>
</file>